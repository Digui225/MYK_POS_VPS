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<sst xmlns="http://schemas.openxmlformats.org/spreadsheetml/2006/main" count="65" uniqueCount="48">
  <si>
    <t xml:space="preserve">ACHAT</t>
  </si>
  <si>
    <t xml:space="preserve">VENTE</t>
  </si>
  <si>
    <t xml:space="preserve">Lundi</t>
  </si>
  <si>
    <t xml:space="preserve">Mardi</t>
  </si>
  <si>
    <t xml:space="preserve">MERCREDI</t>
  </si>
  <si>
    <t xml:space="preserve">ECART QTE</t>
  </si>
  <si>
    <t xml:space="preserve">ECART PLAT</t>
  </si>
  <si>
    <t xml:space="preserve">RESUME VENTE</t>
  </si>
  <si>
    <t xml:space="preserve">Marge brut</t>
  </si>
  <si>
    <t xml:space="preserve">%Marge brut</t>
  </si>
  <si>
    <t xml:space="preserve">Produits</t>
  </si>
  <si>
    <t xml:space="preserve">Qte</t>
  </si>
  <si>
    <t xml:space="preserve">Prix U</t>
  </si>
  <si>
    <t xml:space="preserve">Total</t>
  </si>
  <si>
    <t xml:space="preserve">Nbre Plat prevu</t>
  </si>
  <si>
    <t xml:space="preserve">Total Vte Prevu </t>
  </si>
  <si>
    <t xml:space="preserve">%Marge achat</t>
  </si>
  <si>
    <t xml:space="preserve">Qte Restant</t>
  </si>
  <si>
    <t xml:space="preserve">Qte sortie</t>
  </si>
  <si>
    <t xml:space="preserve">Nb Plat prevu</t>
  </si>
  <si>
    <t xml:space="preserve">Nb Plat Caisse</t>
  </si>
  <si>
    <t xml:space="preserve">Ecart</t>
  </si>
  <si>
    <t xml:space="preserve">PU vte normal</t>
  </si>
  <si>
    <t xml:space="preserve">Nb plat Foufou</t>
  </si>
  <si>
    <t xml:space="preserve">Total Pu vte Foufou</t>
  </si>
  <si>
    <t xml:space="preserve">Total Vente Caisse</t>
  </si>
  <si>
    <t xml:space="preserve">Total Ecart </t>
  </si>
  <si>
    <t xml:space="preserve">Qte Sortie</t>
  </si>
  <si>
    <t xml:space="preserve">Nb Plat Reel</t>
  </si>
  <si>
    <t xml:space="preserve">Ecart Plat</t>
  </si>
  <si>
    <t xml:space="preserve">PU vte Normal </t>
  </si>
  <si>
    <t xml:space="preserve">Total Vte Prevu</t>
  </si>
  <si>
    <t xml:space="preserve">Total Vente Reel</t>
  </si>
  <si>
    <t xml:space="preserve">Pvte</t>
  </si>
  <si>
    <t xml:space="preserve">Qte l Sortie</t>
  </si>
  <si>
    <t xml:space="preserve">Qte Plat Sortie</t>
  </si>
  <si>
    <t xml:space="preserve">Ecart plate Sortie</t>
  </si>
  <si>
    <t xml:space="preserve">Total  VenteE REEL</t>
  </si>
  <si>
    <t xml:space="preserve">Total en Caisse</t>
  </si>
  <si>
    <t xml:space="preserve">Ecart Vente</t>
  </si>
  <si>
    <t xml:space="preserve">Boeuf</t>
  </si>
  <si>
    <t xml:space="preserve">mouton</t>
  </si>
  <si>
    <t xml:space="preserve">poisson loss</t>
  </si>
  <si>
    <t xml:space="preserve">poisson brochet</t>
  </si>
  <si>
    <t xml:space="preserve">poisson sosso</t>
  </si>
  <si>
    <t xml:space="preserve">poisson sommon</t>
  </si>
  <si>
    <t xml:space="preserve">carpe</t>
  </si>
  <si>
    <t xml:space="preserve">poulet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</si>
</sst>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-* #,##0.00\ _€_-;\-* #,##0.00\ _€_-;_-* \-??\ _€_-;_-@_-"/>
    <numFmt numFmtId="167" formatCode="0\ %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0"/>
      <name val="Aptos Narrow"/>
      <family val="2"/>
      <charset val="1"/>
    </font>
    <font>
      <sz val="14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4"/>
      <color theme="0"/>
      <name val="Aptos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4"/>
        <bgColor rgb="FF0B77A0"/>
      </patternFill>
    </fill>
    <fill>
      <patternFill patternType="solid">
        <fgColor theme="7"/>
        <bgColor rgb="FF0B77A0"/>
      </patternFill>
    </fill>
    <fill>
      <patternFill patternType="solid">
        <fgColor theme="7" tint="-0.25"/>
        <bgColor rgb="FF0066CC"/>
      </patternFill>
    </fill>
    <fill>
      <patternFill patternType="solid">
        <fgColor theme="6" tint="-0.5"/>
        <bgColor rgb="FF275417"/>
      </patternFill>
    </fill>
    <fill>
      <patternFill patternType="solid">
        <fgColor theme="9"/>
        <bgColor rgb="FF3B7D23"/>
      </patternFill>
    </fill>
    <fill>
      <patternFill patternType="solid">
        <fgColor rgb="FFFF0000"/>
        <bgColor rgb="FFC00000"/>
      </patternFill>
    </fill>
    <fill>
      <patternFill patternType="solid">
        <fgColor theme="9" tint="-0.5"/>
        <bgColor rgb="FF0C3512"/>
      </patternFill>
    </fill>
    <fill>
      <patternFill patternType="solid">
        <fgColor rgb="FFFFC000"/>
        <bgColor rgb="FFFF9900"/>
      </patternFill>
    </fill>
    <fill>
      <patternFill patternType="solid">
        <fgColor theme="5" tint="-0.5"/>
        <bgColor rgb="FF993366"/>
      </patternFill>
    </fill>
    <fill>
      <patternFill patternType="solid">
        <fgColor rgb="FF7030A0"/>
        <bgColor rgb="FF993366"/>
      </patternFill>
    </fill>
    <fill>
      <patternFill patternType="solid">
        <fgColor theme="5" tint="-0.25"/>
        <bgColor rgb="FF80350E"/>
      </patternFill>
    </fill>
    <fill>
      <patternFill patternType="solid">
        <fgColor theme="9" tint="-0.25"/>
        <bgColor rgb="FF275417"/>
      </patternFill>
    </fill>
    <fill>
      <patternFill patternType="solid">
        <fgColor rgb="FFC00000"/>
        <bgColor rgb="FFFF0000"/>
      </patternFill>
    </fill>
    <fill>
      <patternFill patternType="solid">
        <fgColor theme="1" tint="0.0499"/>
        <bgColor rgb="FF00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1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B7D23"/>
      <rgbColor rgb="FF000080"/>
      <rgbColor rgb="FF808000"/>
      <rgbColor rgb="FF800080"/>
      <rgbColor rgb="FF0B77A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04F15"/>
      <rgbColor rgb="FF666699"/>
      <rgbColor rgb="FF969696"/>
      <rgbColor rgb="FF002060"/>
      <rgbColor rgb="FF4EA72E"/>
      <rgbColor rgb="FF0C3512"/>
      <rgbColor rgb="FF275417"/>
      <rgbColor rgb="FF80350E"/>
      <rgbColor rgb="FF993366"/>
      <rgbColor rgb="FF333399"/>
      <rgbColor rgb="FF0D0D0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4:BD3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9" activeCellId="0" sqref="F9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5" min="5" style="0" width="20.13"/>
    <col collapsed="false" customWidth="true" hidden="false" outlineLevel="0" max="7" min="6" style="0" width="11.67"/>
    <col collapsed="false" customWidth="true" hidden="false" outlineLevel="0" max="8" min="8" style="0" width="13"/>
    <col collapsed="false" customWidth="true" hidden="false" outlineLevel="0" max="9" min="9" style="0" width="19.22"/>
    <col collapsed="false" customWidth="true" hidden="false" outlineLevel="0" max="10" min="10" style="0" width="20.89"/>
    <col collapsed="false" customWidth="true" hidden="false" outlineLevel="0" max="11" min="11" style="0" width="21"/>
    <col collapsed="false" customWidth="true" hidden="false" outlineLevel="0" max="14" min="14" style="0" width="13.33"/>
    <col collapsed="false" customWidth="true" hidden="false" outlineLevel="0" max="15" min="15" style="0" width="16.45"/>
    <col collapsed="false" customWidth="true" hidden="false" outlineLevel="0" max="16" min="16" style="0" width="25"/>
    <col collapsed="false" customWidth="true" hidden="false" outlineLevel="0" max="17" min="17" style="0" width="9.33"/>
    <col collapsed="false" customWidth="true" hidden="false" outlineLevel="0" max="18" min="18" style="0" width="19.67"/>
    <col collapsed="false" customWidth="true" hidden="false" outlineLevel="0" max="19" min="19" style="0" width="20.89"/>
    <col collapsed="false" customWidth="true" hidden="false" outlineLevel="0" max="20" min="20" style="0" width="20.33"/>
    <col collapsed="false" customWidth="true" hidden="false" outlineLevel="0" max="21" min="21" style="0" width="30.11"/>
    <col collapsed="false" customWidth="true" hidden="false" outlineLevel="0" max="22" min="22" style="0" width="24.55"/>
    <col collapsed="false" customWidth="true" hidden="false" outlineLevel="0" max="23" min="23" style="0" width="14.78"/>
    <col collapsed="false" customWidth="true" hidden="false" outlineLevel="0" max="24" min="24" style="0" width="3.89"/>
    <col collapsed="false" customWidth="true" hidden="false" outlineLevel="0" max="26" min="25" style="0" width="11.67"/>
    <col collapsed="false" customWidth="true" hidden="false" outlineLevel="0" max="27" min="27" style="0" width="18.67"/>
    <col collapsed="false" customWidth="true" hidden="false" outlineLevel="0" max="28" min="28" style="0" width="15.55"/>
    <col collapsed="false" customWidth="true" hidden="false" outlineLevel="0" max="29" min="29" style="0" width="13.22"/>
    <col collapsed="false" customWidth="true" hidden="false" outlineLevel="0" max="32" min="30" style="0" width="20.55"/>
    <col collapsed="false" customWidth="true" hidden="false" outlineLevel="0" max="33" min="33" style="0" width="19.22"/>
    <col collapsed="false" customWidth="true" hidden="false" outlineLevel="0" max="34" min="34" style="0" width="20.33"/>
    <col collapsed="false" customWidth="true" hidden="false" outlineLevel="0" max="35" min="35" style="0" width="18.11"/>
    <col collapsed="false" customWidth="true" hidden="false" outlineLevel="0" max="36" min="36" style="0" width="5.44"/>
    <col collapsed="false" customWidth="true" hidden="false" outlineLevel="0" max="38" min="37" style="0" width="15.55"/>
    <col collapsed="false" customWidth="true" hidden="false" outlineLevel="0" max="39" min="39" style="0" width="17.89"/>
    <col collapsed="false" customWidth="true" hidden="false" outlineLevel="0" max="40" min="40" style="0" width="16.33"/>
    <col collapsed="false" customWidth="true" hidden="false" outlineLevel="0" max="41" min="41" style="0" width="11.67"/>
    <col collapsed="false" customWidth="true" hidden="false" outlineLevel="0" max="42" min="42" style="0" width="14.22"/>
    <col collapsed="false" customWidth="true" hidden="false" outlineLevel="0" max="43" min="43" style="0" width="17.11"/>
    <col collapsed="false" customWidth="true" hidden="false" outlineLevel="0" max="44" min="44" style="0" width="25.66"/>
    <col collapsed="false" customWidth="true" hidden="false" outlineLevel="0" max="45" min="45" style="0" width="18.11"/>
    <col collapsed="false" customWidth="true" hidden="false" outlineLevel="0" max="46" min="46" style="0" width="19.78"/>
    <col collapsed="false" customWidth="true" hidden="false" outlineLevel="0" max="47" min="47" style="0" width="14.22"/>
    <col collapsed="false" customWidth="true" hidden="false" outlineLevel="0" max="48" min="48" style="0" width="18.78"/>
    <col collapsed="false" customWidth="true" hidden="false" outlineLevel="0" max="49" min="49" style="0" width="11.67"/>
    <col collapsed="false" customWidth="true" hidden="false" outlineLevel="0" max="50" min="50" style="0" width="22.89"/>
    <col collapsed="false" customWidth="true" hidden="false" outlineLevel="0" max="51" min="51" style="0" width="18.78"/>
    <col collapsed="false" customWidth="true" hidden="false" outlineLevel="0" max="52" min="52" style="0" width="22.34"/>
    <col collapsed="false" customWidth="true" hidden="false" outlineLevel="0" max="53" min="53" style="0" width="20"/>
    <col collapsed="false" customWidth="true" hidden="false" outlineLevel="0" max="54" min="54" style="0" width="19.11"/>
    <col collapsed="false" customWidth="true" hidden="false" outlineLevel="0" max="55" min="55" style="0" width="16.22"/>
    <col collapsed="false" customWidth="true" hidden="false" outlineLevel="0" max="56" min="56" style="0" width="16.78"/>
  </cols>
  <sheetData>
    <row r="4" customFormat="false" ht="17.35" hidden="false" customHeight="false" outlineLevel="0" collapsed="false">
      <c r="E4" s="1" t="s">
        <v>0</v>
      </c>
      <c r="F4" s="1"/>
      <c r="G4" s="1"/>
      <c r="H4" s="1"/>
      <c r="I4" s="1"/>
      <c r="J4" s="1"/>
      <c r="K4" s="1"/>
      <c r="L4" s="2"/>
      <c r="M4" s="2"/>
      <c r="N4" s="1" t="s"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customFormat="false" ht="17.35" hidden="false" customHeight="false" outlineLevel="0" collapsed="false">
      <c r="E5" s="2"/>
      <c r="F5" s="2"/>
      <c r="G5" s="2"/>
      <c r="H5" s="2"/>
      <c r="I5" s="2"/>
      <c r="J5" s="2"/>
      <c r="K5" s="2"/>
      <c r="L5" s="2"/>
      <c r="M5" s="2"/>
      <c r="N5" s="3" t="s">
        <v>2</v>
      </c>
      <c r="O5" s="3"/>
      <c r="P5" s="3"/>
      <c r="Q5" s="3"/>
      <c r="R5" s="3"/>
      <c r="S5" s="3"/>
      <c r="T5" s="3"/>
      <c r="U5" s="3"/>
      <c r="V5" s="3"/>
      <c r="W5" s="4"/>
      <c r="X5" s="4"/>
      <c r="Y5" s="5" t="s">
        <v>3</v>
      </c>
      <c r="Z5" s="6"/>
      <c r="AA5" s="6"/>
      <c r="AB5" s="6"/>
      <c r="AC5" s="6"/>
      <c r="AD5" s="6"/>
      <c r="AE5" s="6"/>
      <c r="AF5" s="6"/>
      <c r="AG5" s="6"/>
      <c r="AH5" s="6"/>
      <c r="AI5" s="7"/>
      <c r="AJ5" s="8"/>
      <c r="AK5" s="5" t="s">
        <v>4</v>
      </c>
      <c r="AL5" s="6"/>
      <c r="AM5" s="6"/>
      <c r="AN5" s="6"/>
      <c r="AO5" s="6"/>
      <c r="AP5" s="6"/>
      <c r="AQ5" s="6"/>
      <c r="AR5" s="6"/>
      <c r="AS5" s="6"/>
      <c r="AT5" s="6"/>
      <c r="AU5" s="7"/>
      <c r="AV5" s="9" t="s">
        <v>5</v>
      </c>
      <c r="AW5" s="9"/>
      <c r="AX5" s="10" t="s">
        <v>6</v>
      </c>
      <c r="AY5" s="10"/>
      <c r="AZ5" s="11" t="s">
        <v>7</v>
      </c>
      <c r="BA5" s="11"/>
      <c r="BB5" s="11"/>
      <c r="BC5" s="12" t="s">
        <v>8</v>
      </c>
      <c r="BD5" s="12" t="s">
        <v>9</v>
      </c>
    </row>
    <row r="6" customFormat="false" ht="17.35" hidden="false" customHeight="false" outlineLevel="0" collapsed="false"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4"/>
      <c r="M6" s="13" t="s">
        <v>17</v>
      </c>
      <c r="N6" s="13" t="s">
        <v>18</v>
      </c>
      <c r="O6" s="13" t="s">
        <v>19</v>
      </c>
      <c r="P6" s="13" t="s">
        <v>20</v>
      </c>
      <c r="Q6" s="13" t="s">
        <v>21</v>
      </c>
      <c r="R6" s="13" t="s">
        <v>22</v>
      </c>
      <c r="S6" s="13" t="s">
        <v>23</v>
      </c>
      <c r="T6" s="13" t="s">
        <v>24</v>
      </c>
      <c r="U6" s="13" t="s">
        <v>15</v>
      </c>
      <c r="V6" s="13" t="s">
        <v>25</v>
      </c>
      <c r="W6" s="13" t="s">
        <v>26</v>
      </c>
      <c r="X6" s="15"/>
      <c r="Y6" s="13" t="s">
        <v>17</v>
      </c>
      <c r="Z6" s="13" t="s">
        <v>27</v>
      </c>
      <c r="AA6" s="13" t="s">
        <v>19</v>
      </c>
      <c r="AB6" s="13" t="s">
        <v>28</v>
      </c>
      <c r="AC6" s="13" t="s">
        <v>29</v>
      </c>
      <c r="AD6" s="13" t="s">
        <v>30</v>
      </c>
      <c r="AE6" s="13" t="s">
        <v>23</v>
      </c>
      <c r="AF6" s="13" t="s">
        <v>24</v>
      </c>
      <c r="AG6" s="13" t="s">
        <v>31</v>
      </c>
      <c r="AH6" s="13" t="s">
        <v>32</v>
      </c>
      <c r="AI6" s="13" t="s">
        <v>26</v>
      </c>
      <c r="AJ6" s="8"/>
      <c r="AK6" s="13" t="s">
        <v>17</v>
      </c>
      <c r="AL6" s="13" t="s">
        <v>27</v>
      </c>
      <c r="AM6" s="13" t="s">
        <v>19</v>
      </c>
      <c r="AN6" s="13" t="s">
        <v>28</v>
      </c>
      <c r="AO6" s="13" t="s">
        <v>21</v>
      </c>
      <c r="AP6" s="13" t="s">
        <v>33</v>
      </c>
      <c r="AQ6" s="13" t="s">
        <v>23</v>
      </c>
      <c r="AR6" s="13" t="s">
        <v>24</v>
      </c>
      <c r="AS6" s="13" t="s">
        <v>31</v>
      </c>
      <c r="AT6" s="13" t="s">
        <v>32</v>
      </c>
      <c r="AU6" s="13" t="s">
        <v>26</v>
      </c>
      <c r="AV6" s="16" t="s">
        <v>34</v>
      </c>
      <c r="AW6" s="16" t="s">
        <v>21</v>
      </c>
      <c r="AX6" s="16" t="s">
        <v>35</v>
      </c>
      <c r="AY6" s="16" t="s">
        <v>36</v>
      </c>
      <c r="AZ6" s="17" t="s">
        <v>37</v>
      </c>
      <c r="BA6" s="14" t="s">
        <v>38</v>
      </c>
      <c r="BB6" s="17" t="s">
        <v>39</v>
      </c>
      <c r="BC6" s="12"/>
      <c r="BD6" s="12"/>
    </row>
    <row r="7" customFormat="false" ht="17.35" hidden="false" customHeight="false" outlineLevel="0" collapsed="false">
      <c r="E7" s="13" t="s">
        <v>40</v>
      </c>
      <c r="F7" s="13" t="n">
        <v>1</v>
      </c>
      <c r="G7" s="18" t="n">
        <v>4000</v>
      </c>
      <c r="H7" s="18" t="n">
        <f aca="false">F7*G7</f>
        <v>4000</v>
      </c>
      <c r="I7" s="13" t="n">
        <f aca="false">F7*5</f>
        <v>5</v>
      </c>
      <c r="J7" s="18" t="n">
        <f aca="false">I7*3000</f>
        <v>15000</v>
      </c>
      <c r="K7" s="19" t="n">
        <f aca="false">((J7-H7)*100)/J7</f>
        <v>73.3333333333333</v>
      </c>
      <c r="L7" s="20"/>
      <c r="M7" s="21"/>
      <c r="N7" s="22" t="n">
        <v>4</v>
      </c>
      <c r="O7" s="23" t="n">
        <f aca="false">N7*4</f>
        <v>16</v>
      </c>
      <c r="P7" s="23" t="n">
        <v>23</v>
      </c>
      <c r="Q7" s="23" t="n">
        <f aca="false">P7-O7</f>
        <v>7</v>
      </c>
      <c r="R7" s="24" t="n">
        <v>3000</v>
      </c>
      <c r="S7" s="24" t="n">
        <v>0</v>
      </c>
      <c r="T7" s="24" t="n">
        <v>3500</v>
      </c>
      <c r="U7" s="24" t="n">
        <f aca="false">(O7*R7)</f>
        <v>48000</v>
      </c>
      <c r="V7" s="24" t="n">
        <f aca="false">(P7*R7)+(S7*T7)</f>
        <v>69000</v>
      </c>
      <c r="W7" s="25" t="n">
        <f aca="false">V7-U7</f>
        <v>21000</v>
      </c>
      <c r="X7" s="26"/>
      <c r="Y7" s="21" t="n">
        <f aca="false">F7-N7</f>
        <v>-3</v>
      </c>
      <c r="Z7" s="22" t="n">
        <v>3.25</v>
      </c>
      <c r="AA7" s="23" t="n">
        <f aca="false">Z7*5</f>
        <v>16.25</v>
      </c>
      <c r="AB7" s="23" t="n">
        <v>15</v>
      </c>
      <c r="AC7" s="23" t="n">
        <f aca="false">AB7-AA7</f>
        <v>-1.25</v>
      </c>
      <c r="AD7" s="24" t="n">
        <v>3000</v>
      </c>
      <c r="AE7" s="24" t="n">
        <v>2</v>
      </c>
      <c r="AF7" s="24" t="n">
        <v>3500</v>
      </c>
      <c r="AG7" s="24" t="n">
        <f aca="false">AA7*AD7</f>
        <v>48750</v>
      </c>
      <c r="AH7" s="24" t="n">
        <f aca="false">(AB7*AD7)+(AE7*AF7)</f>
        <v>52000</v>
      </c>
      <c r="AI7" s="23"/>
      <c r="AJ7" s="8"/>
      <c r="AK7" s="21" t="n">
        <f aca="false">F7-(N7+Z7)</f>
        <v>-6.25</v>
      </c>
      <c r="AL7" s="22" t="n">
        <v>2</v>
      </c>
      <c r="AM7" s="23" t="n">
        <f aca="false">AL7*5</f>
        <v>10</v>
      </c>
      <c r="AN7" s="23" t="n">
        <v>8</v>
      </c>
      <c r="AO7" s="25" t="n">
        <f aca="false">AM7-(AN7+AQ7)</f>
        <v>0</v>
      </c>
      <c r="AP7" s="24" t="n">
        <v>3000</v>
      </c>
      <c r="AQ7" s="24" t="n">
        <v>2</v>
      </c>
      <c r="AR7" s="24" t="n">
        <v>3500</v>
      </c>
      <c r="AS7" s="24" t="n">
        <f aca="false">AM7*AP7</f>
        <v>30000</v>
      </c>
      <c r="AT7" s="24" t="n">
        <f aca="false">(AN7*AP7)+(AQ7*AR7)</f>
        <v>31000</v>
      </c>
      <c r="AU7" s="23"/>
      <c r="AV7" s="27" t="n">
        <f aca="false">N7+Z7+AL7</f>
        <v>9.25</v>
      </c>
      <c r="AW7" s="28" t="n">
        <f aca="false">AV7-F7</f>
        <v>8.25</v>
      </c>
      <c r="AX7" s="29" t="n">
        <f aca="false">P7+AB7+AN7</f>
        <v>46</v>
      </c>
      <c r="AY7" s="30" t="n">
        <f aca="false">AX7-I7</f>
        <v>41</v>
      </c>
      <c r="AZ7" s="31" t="n">
        <f aca="false">V7+AH7+AT7</f>
        <v>152000</v>
      </c>
      <c r="BA7" s="31"/>
      <c r="BB7" s="32" t="n">
        <f aca="false">AZ7-J7</f>
        <v>137000</v>
      </c>
      <c r="BC7" s="33" t="n">
        <f aca="false">AZ7-H7</f>
        <v>148000</v>
      </c>
      <c r="BD7" s="34" t="n">
        <f aca="false">((AZ7-H7))/AZ7</f>
        <v>0.973684210526316</v>
      </c>
    </row>
    <row r="8" customFormat="false" ht="17.35" hidden="false" customHeight="false" outlineLevel="0" collapsed="false">
      <c r="E8" s="13" t="s">
        <v>41</v>
      </c>
      <c r="F8" s="13" t="n">
        <v>1</v>
      </c>
      <c r="G8" s="13"/>
      <c r="H8" s="13"/>
      <c r="I8" s="13" t="n">
        <v>3.5</v>
      </c>
      <c r="J8" s="13"/>
      <c r="K8" s="13"/>
      <c r="L8" s="20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35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8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36"/>
      <c r="BA8" s="36"/>
      <c r="BB8" s="36"/>
      <c r="BC8" s="36"/>
      <c r="BD8" s="36"/>
    </row>
    <row r="9" customFormat="false" ht="17.35" hidden="false" customHeight="false" outlineLevel="0" collapsed="false">
      <c r="E9" s="13" t="s">
        <v>42</v>
      </c>
      <c r="F9" s="13"/>
      <c r="G9" s="13"/>
      <c r="H9" s="13"/>
      <c r="I9" s="13"/>
      <c r="J9" s="13"/>
      <c r="K9" s="13"/>
      <c r="L9" s="20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35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8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36"/>
      <c r="BA9" s="36"/>
      <c r="BB9" s="36"/>
      <c r="BC9" s="36"/>
      <c r="BD9" s="36"/>
    </row>
    <row r="10" customFormat="false" ht="17.35" hidden="false" customHeight="false" outlineLevel="0" collapsed="false">
      <c r="E10" s="13" t="s">
        <v>43</v>
      </c>
      <c r="F10" s="13"/>
      <c r="G10" s="13"/>
      <c r="H10" s="13"/>
      <c r="I10" s="13"/>
      <c r="J10" s="13"/>
      <c r="K10" s="13"/>
      <c r="L10" s="20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35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8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36"/>
      <c r="BA10" s="36"/>
      <c r="BB10" s="36"/>
      <c r="BC10" s="36"/>
      <c r="BD10" s="36"/>
    </row>
    <row r="11" customFormat="false" ht="17.35" hidden="false" customHeight="false" outlineLevel="0" collapsed="false">
      <c r="E11" s="13" t="s">
        <v>44</v>
      </c>
      <c r="F11" s="13"/>
      <c r="G11" s="13"/>
      <c r="H11" s="13"/>
      <c r="I11" s="13"/>
      <c r="J11" s="13"/>
      <c r="K11" s="13"/>
      <c r="L11" s="20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35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8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36"/>
      <c r="BA11" s="36"/>
      <c r="BB11" s="36"/>
      <c r="BC11" s="36"/>
      <c r="BD11" s="36"/>
    </row>
    <row r="12" customFormat="false" ht="17.35" hidden="false" customHeight="false" outlineLevel="0" collapsed="false">
      <c r="E12" s="13" t="s">
        <v>45</v>
      </c>
      <c r="F12" s="13"/>
      <c r="G12" s="13"/>
      <c r="H12" s="13"/>
      <c r="I12" s="13"/>
      <c r="J12" s="13"/>
      <c r="K12" s="13"/>
      <c r="L12" s="20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35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8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36"/>
      <c r="BA12" s="36"/>
      <c r="BB12" s="36"/>
      <c r="BC12" s="36"/>
      <c r="BD12" s="36"/>
    </row>
    <row r="13" customFormat="false" ht="17.35" hidden="false" customHeight="false" outlineLevel="0" collapsed="false">
      <c r="E13" s="13" t="s">
        <v>46</v>
      </c>
      <c r="F13" s="13"/>
      <c r="G13" s="13"/>
      <c r="H13" s="13"/>
      <c r="I13" s="13"/>
      <c r="J13" s="13"/>
      <c r="K13" s="13"/>
      <c r="L13" s="20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35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8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36"/>
      <c r="BA13" s="36"/>
      <c r="BB13" s="36"/>
      <c r="BC13" s="36"/>
      <c r="BD13" s="36"/>
    </row>
    <row r="14" customFormat="false" ht="17.35" hidden="false" customHeight="false" outlineLevel="0" collapsed="false">
      <c r="E14" s="13" t="s">
        <v>47</v>
      </c>
      <c r="F14" s="13"/>
      <c r="G14" s="13"/>
      <c r="H14" s="13"/>
      <c r="I14" s="13"/>
      <c r="J14" s="13"/>
      <c r="K14" s="13"/>
      <c r="L14" s="20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35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8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36"/>
      <c r="BA14" s="36"/>
      <c r="BB14" s="36"/>
      <c r="BC14" s="36"/>
      <c r="BD14" s="36"/>
    </row>
    <row r="15" customFormat="false" ht="17.35" hidden="false" customHeight="false" outlineLevel="0" collapsed="false">
      <c r="E15" s="13"/>
      <c r="F15" s="13"/>
      <c r="G15" s="13"/>
      <c r="H15" s="13"/>
      <c r="I15" s="13"/>
      <c r="J15" s="13"/>
      <c r="K15" s="13"/>
      <c r="L15" s="20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35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8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36"/>
      <c r="BA15" s="36"/>
      <c r="BB15" s="36"/>
      <c r="BC15" s="36"/>
      <c r="BD15" s="36"/>
    </row>
    <row r="16" customFormat="false" ht="17.35" hidden="false" customHeight="false" outlineLevel="0" collapsed="false">
      <c r="E16" s="13"/>
      <c r="F16" s="13"/>
      <c r="G16" s="13"/>
      <c r="H16" s="13"/>
      <c r="I16" s="13"/>
      <c r="J16" s="13"/>
      <c r="K16" s="13"/>
      <c r="L16" s="20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35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8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36"/>
      <c r="BA16" s="36"/>
      <c r="BB16" s="36"/>
      <c r="BC16" s="36"/>
      <c r="BD16" s="36"/>
    </row>
    <row r="17" customFormat="false" ht="17.35" hidden="false" customHeight="false" outlineLevel="0" collapsed="false">
      <c r="E17" s="13"/>
      <c r="F17" s="13"/>
      <c r="G17" s="13"/>
      <c r="H17" s="13"/>
      <c r="I17" s="13"/>
      <c r="J17" s="13"/>
      <c r="K17" s="13"/>
      <c r="L17" s="20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35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8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36"/>
      <c r="BA17" s="36"/>
      <c r="BB17" s="36"/>
      <c r="BC17" s="36"/>
      <c r="BD17" s="36"/>
    </row>
    <row r="18" customFormat="false" ht="17.35" hidden="false" customHeight="false" outlineLevel="0" collapsed="false">
      <c r="E18" s="13"/>
      <c r="F18" s="13"/>
      <c r="G18" s="13"/>
      <c r="H18" s="13"/>
      <c r="I18" s="13"/>
      <c r="J18" s="13"/>
      <c r="K18" s="13"/>
      <c r="L18" s="20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35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8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36"/>
      <c r="BA18" s="36"/>
      <c r="BB18" s="36"/>
      <c r="BC18" s="36"/>
      <c r="BD18" s="36"/>
    </row>
    <row r="19" customFormat="false" ht="17.35" hidden="false" customHeight="false" outlineLevel="0" collapsed="false">
      <c r="E19" s="13"/>
      <c r="F19" s="13"/>
      <c r="G19" s="13"/>
      <c r="H19" s="13"/>
      <c r="I19" s="13"/>
      <c r="J19" s="13"/>
      <c r="K19" s="13"/>
      <c r="L19" s="20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35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8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36"/>
      <c r="BA19" s="36"/>
      <c r="BB19" s="36"/>
      <c r="BC19" s="36"/>
      <c r="BD19" s="36"/>
    </row>
    <row r="20" customFormat="false" ht="17.35" hidden="false" customHeight="false" outlineLevel="0" collapsed="false">
      <c r="E20" s="2"/>
      <c r="F20" s="2"/>
      <c r="G20" s="2"/>
      <c r="H20" s="2"/>
      <c r="I20" s="2"/>
      <c r="J20" s="2"/>
      <c r="K20" s="2"/>
      <c r="L20" s="2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35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8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36"/>
      <c r="BA20" s="36"/>
      <c r="BB20" s="36"/>
      <c r="BC20" s="36"/>
      <c r="BD20" s="36"/>
    </row>
    <row r="35" customFormat="false" ht="14.25" hidden="false" customHeight="false" outlineLevel="0" collapsed="false">
      <c r="K35" s="37"/>
    </row>
  </sheetData>
  <mergeCells count="8">
    <mergeCell ref="E4:K4"/>
    <mergeCell ref="N4:BD4"/>
    <mergeCell ref="N5:V5"/>
    <mergeCell ref="AV5:AW5"/>
    <mergeCell ref="AX5:AY5"/>
    <mergeCell ref="AZ5:BB5"/>
    <mergeCell ref="BC5:BC6"/>
    <mergeCell ref="BD5:BD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2026-10-21T17:21:11Z</dcterms:created>
  <dc:creator>Maxime Yapi</dc:creator>
  <dc:description/>
  <dc:language>fr-FR</dc:language>
  <cp:lastModifiedBy/>
  <dcterms:modified xsi:type="dcterms:W3CDTF">2026-10-23T15:05:27Z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